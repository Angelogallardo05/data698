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01b7eb312fbf9b/Documents/"/>
    </mc:Choice>
  </mc:AlternateContent>
  <xr:revisionPtr revIDLastSave="176" documentId="8_{29FC3A39-C073-42E2-A83D-78F38AC3ABE4}" xr6:coauthVersionLast="47" xr6:coauthVersionMax="47" xr10:uidLastSave="{E6056C7B-20DE-449C-9539-FE746C388A19}"/>
  <bookViews>
    <workbookView xWindow="28680" yWindow="-120" windowWidth="29040" windowHeight="15720" xr2:uid="{F5EEAA6A-B76D-4AC6-BFFD-75AF6E551559}"/>
  </bookViews>
  <sheets>
    <sheet name="Sheet1" sheetId="1" r:id="rId1"/>
    <sheet name="Sheet2" sheetId="2" r:id="rId2"/>
  </sheets>
  <definedNames>
    <definedName name="_xlnm._FilterDatabase" localSheetId="0" hidden="1">Sheet1!$A$1:$F$11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4" i="1"/>
  <c r="D15" i="1"/>
</calcChain>
</file>

<file path=xl/sharedStrings.xml><?xml version="1.0" encoding="utf-8"?>
<sst xmlns="http://schemas.openxmlformats.org/spreadsheetml/2006/main" count="104" uniqueCount="67">
  <si>
    <t>restaurant</t>
  </si>
  <si>
    <t>price</t>
  </si>
  <si>
    <t>calories</t>
  </si>
  <si>
    <t>Type</t>
  </si>
  <si>
    <t>burger</t>
  </si>
  <si>
    <t>entre</t>
  </si>
  <si>
    <t>type 2</t>
  </si>
  <si>
    <t>weight/grams</t>
  </si>
  <si>
    <t>mcdonalds</t>
  </si>
  <si>
    <t>mcchicken</t>
  </si>
  <si>
    <t>chicken mcnuggets</t>
  </si>
  <si>
    <t>beverage</t>
  </si>
  <si>
    <t>apple juice</t>
  </si>
  <si>
    <t>lemonade</t>
  </si>
  <si>
    <t>Strawberry banana smothie</t>
  </si>
  <si>
    <t>subway</t>
  </si>
  <si>
    <t>The philly</t>
  </si>
  <si>
    <t>Subway American Club Salad</t>
  </si>
  <si>
    <t xml:space="preserve"> </t>
  </si>
  <si>
    <t>Subway mil choclate</t>
  </si>
  <si>
    <t>Small</t>
  </si>
  <si>
    <t>Chipotle Barbacoa Burrito</t>
  </si>
  <si>
    <t>chipotle</t>
  </si>
  <si>
    <t>Chipotle Carne Asada Burrito Bowl </t>
  </si>
  <si>
    <t>steak salad</t>
  </si>
  <si>
    <t>titan turkey</t>
  </si>
  <si>
    <t>Mexican cola</t>
  </si>
  <si>
    <t>Dunkin</t>
  </si>
  <si>
    <t>avocado toast</t>
  </si>
  <si>
    <t>bacon egg and cheese</t>
  </si>
  <si>
    <t>Pumkin muffin</t>
  </si>
  <si>
    <t>coffee small</t>
  </si>
  <si>
    <t>Refresher</t>
  </si>
  <si>
    <r>
      <t xml:space="preserve">Food_insecure          </t>
    </r>
    <r>
      <rPr>
        <i/>
        <sz val="7"/>
        <color rgb="FF949494"/>
        <rFont val="Lucida Console"/>
        <family val="3"/>
      </rPr>
      <t>&lt;int&gt;</t>
    </r>
    <r>
      <rPr>
        <sz val="7"/>
        <color rgb="FF000000"/>
        <rFont val="Lucida Console"/>
        <family val="3"/>
      </rPr>
      <t xml:space="preserve"> 15, 12, 20, 16, 14, 16, 16, 16, 15, 14, 16, 17, 19, 15, 16, 15, 16, 16, 14, 16, 15, 15, 17, 20, 16, 1…</t>
    </r>
  </si>
  <si>
    <r>
      <t xml:space="preserve">$ PCT_NHWHITE20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70.71167, 80.46659, 43.95195, 73.75409, 84.15463, 22.02375, 50.80573, 68.29124, 53.53733, 90.35681, 7…</t>
    </r>
  </si>
  <si>
    <r>
      <t xml:space="preserve">$ PCT_NHBLACK20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19.304481, 7.766852, 46.980930, 19.692280, 1.396828, 71.333398, 44.034434, 21.783564, 38.654665, 3.95…</t>
    </r>
  </si>
  <si>
    <r>
      <t xml:space="preserve">$ PCH_WICWOMEN_16_21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8.215316, 8.215316, 8.215316, 8.215316, 8.215316, 8.215316, 8.215316, 8.215316, 8.215316, 8.215316, 8…</t>
    </r>
  </si>
  <si>
    <r>
      <t xml:space="preserve">$ PCT_HISP20   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3.6000340, 5.4736006, 5.9865995, 3.3194276, 9.7591910, 4.8566187, 1.3647578, 4.3026082, 3.5574600, 1.…</t>
    </r>
  </si>
  <si>
    <r>
      <t xml:space="preserve">$ PCT_NHTMR20  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4.234334, 4.473458, 2.192443, 2.691428, 3.889471, 1.322777, 2.656029, 3.923017, 2.576786, 3.243763, 2…</t>
    </r>
  </si>
  <si>
    <r>
      <t xml:space="preserve">$ MEDHHINC21   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66444, 65658, 38649, 48454, 56894, 32027, 39442, 48166, 45447, 46365, 55142, 40601, 45447, 47036, 497…</t>
    </r>
  </si>
  <si>
    <r>
      <t xml:space="preserve">$ PCH_SNAP_17_22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-1.240442, -1.240442, -1.240442, -1.240442, -1.240442, -1.240442, -1.240442, -1.240442, -1.240442, -1…</t>
    </r>
  </si>
  <si>
    <r>
      <t xml:space="preserve">$ PCH_LACCESS_LOWI_15_19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3.9505622, -6.4287663, -11.8942938, -38.0423279, -43.9866791, 10.5591145, 2.4781649, 26.1139336, -21.…</t>
    </r>
  </si>
  <si>
    <r>
      <t xml:space="preserve">$ PCH_LACCESS_HHNV_15_19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22.973848, 18.739231, 28.598705, 38.790710, 4.516945, -19.734571, 2.366870, 12.105649, -16.742537, 20…</t>
    </r>
  </si>
  <si>
    <r>
      <t xml:space="preserve">$ PCT_OBESE_ADULTS22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38.3, 38.3, 38.3, 38.3, 38.3, 38.3, 38.3, 38.3, 38.3, 38.3, 38.3, 38.3, 38.3, 38.3, 38.3, 38.3, 38.3,…</t>
    </r>
  </si>
  <si>
    <r>
      <t xml:space="preserve">$ PCH_SFSP_17_21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10.3947, 10.3947, 10.3947, 10.3947, 10.3947, 10.3947, 10.3947, 10.3947, 10.3947, 10.3947, 10.3947, 10…</t>
    </r>
  </si>
  <si>
    <r>
      <t xml:space="preserve">$ PCH_WIC_17_21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-0.3077049, -0.3077049, -0.3077049, -0.3077049, -0.3077049, -0.3077049, -0.3077049, -0.3077049, -0.30…</t>
    </r>
  </si>
  <si>
    <r>
      <t xml:space="preserve">$ REDEMP_SNAPS23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1368610.2, 4524052.8, 1202117.2, 666731.8, 903976.7, 299166.7, 1093435.3, 4777945.8, 1298103.0, 66773…</t>
    </r>
  </si>
  <si>
    <r>
      <t xml:space="preserve">$ PC_SNAPBEN22 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36.28551, 23.93616, 62.90414, 39.44931, 28.65749, 68.54785, 65.19603, 48.42218, 53.25321, 33.75928, 4…</t>
    </r>
  </si>
  <si>
    <r>
      <t xml:space="preserve">$ REDEMP_WICS22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153055.05, 80489.91, 64382.85, 75706.61, 100809.83, </t>
    </r>
    <r>
      <rPr>
        <sz val="7"/>
        <color rgb="FFCC0000"/>
        <rFont val="Lucida Console"/>
        <family val="3"/>
      </rPr>
      <t>NA</t>
    </r>
    <r>
      <rPr>
        <sz val="7"/>
        <color rgb="FF000000"/>
        <rFont val="Lucida Console"/>
        <family val="3"/>
      </rPr>
      <t>, 117556.28, 103119.66, 75630.61, 83545.10, 106…</t>
    </r>
  </si>
  <si>
    <r>
      <t xml:space="preserve">$ SNAPSPTH23   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0.7147598, 0.9210864, 1.6481087, 0.8089524, 0.8124989, 1.3555384, 1.7912649, 1.2224307, 1.0978851, 1.…</t>
    </r>
  </si>
  <si>
    <r>
      <t xml:space="preserve">$ PCH_SNAPSPTH_17_23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-11.1820307, 3.3957407, 15.6880760, 0.9394466, 17.3497925, 37.4515915, 42.5223808, 3.1228163, 3.77477…</t>
    </r>
  </si>
  <si>
    <r>
      <t xml:space="preserve">$ PCT_LACCESS_SNAP19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9.039446, 5.506705, 16.781069, 8.956861, 8.359875, 18.712976, 11.281413, 10.003211, 8.791008, 14.6864…</t>
    </r>
  </si>
  <si>
    <r>
      <t xml:space="preserve">$ POVRATE21    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10.7, 10.8, 23.0, 20.6, 12.0, 32.1, 22.7, 19.2, 19.7, 18.2, 15.5, 23.3, 19.4, 18.4, 15.0, 15.9, 16.5,…</t>
    </r>
  </si>
  <si>
    <r>
      <t xml:space="preserve">$ METRO23             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1, 1, 0, 1, 1, 0, 0, 1, 0, 0, 1, 0, 0, 0, 0, 0, 1, 0, 0, 0, 0, 0, 0, 0, 0, 1, 0, 1, 0, 0, 1, 1, 1, 1,…</t>
    </r>
  </si>
  <si>
    <r>
      <t xml:space="preserve">$ total_SNAP   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2144292.3, 5727779.3, 1570339.1, 886702.2, 1691966.6, 707413.8, 1231161.8, 5615617.5, 1839419.1, 8438…</t>
    </r>
  </si>
  <si>
    <r>
      <t xml:space="preserve">$ SNAP_participants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9017.669, 36515.342, 3809.410, 3429.904, 9009.429, 1574.792, 2881.626, 17696.880, 5270.823, 3814.293,…</t>
    </r>
  </si>
  <si>
    <r>
      <t xml:space="preserve">$ SNAP_per_participant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237.7879, 156.8595, 412.2263, 258.5210, 187.7995, 449.2109, 427.2456, 317.3225, 348.9814, 221.2329, 3…</t>
    </r>
  </si>
  <si>
    <r>
      <t xml:space="preserve">$ calories_SNAP_part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78470.00, 51763.64, 136034.68, 85311.94, 61973.85, 148239.60, 140991.05, 104716.41, 115163.85, 73006.…</t>
    </r>
  </si>
  <si>
    <r>
      <t xml:space="preserve">$ PCT_65OLDER20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15.71805, 21.87110, 20.23153, 16.22034, 18.62549, 17.93956, 21.47919, 18.40159, 20.61429, 23.52729, 1…</t>
    </r>
  </si>
  <si>
    <r>
      <t xml:space="preserve">$ PCT_18YOUNGER20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24.28705, 21.26964, 20.17603, 21.35199, 23.22014, 19.32027, 21.77314, 20.74183, 20.07650, 19.23031, 2…</t>
    </r>
  </si>
  <si>
    <r>
      <t xml:space="preserve">$ Population             </t>
    </r>
    <r>
      <rPr>
        <i/>
        <sz val="7"/>
        <color rgb="FF949494"/>
        <rFont val="Lucida Console"/>
        <family val="3"/>
      </rPr>
      <t>&lt;int&gt;</t>
    </r>
    <r>
      <rPr>
        <sz val="7"/>
        <color rgb="FF000000"/>
        <rFont val="Lucida Console"/>
        <family val="3"/>
      </rPr>
      <t xml:space="preserve"> 59095, 239294, 24964, 22477, 59041, 10320, 18884, 115972, 34541, 24996, 45274, 12533, 22760, 14190, 1…</t>
    </r>
  </si>
  <si>
    <r>
      <t xml:space="preserve">$ Household_burden       </t>
    </r>
    <r>
      <rPr>
        <i/>
        <sz val="7"/>
        <color rgb="FF949494"/>
        <rFont val="Lucida Console"/>
        <family val="3"/>
      </rPr>
      <t>&lt;int&gt;</t>
    </r>
    <r>
      <rPr>
        <sz val="7"/>
        <color rgb="FF000000"/>
        <rFont val="Lucida Console"/>
        <family val="3"/>
      </rPr>
      <t xml:space="preserve"> 13, 11, 10, 9, 8, 19, 9, 11, 10, 8, 10, 11, 12, 8, 6, 10, 9, 5, 3, 10, 10, 8, 12, 15, 10, 9, 12, 11, …</t>
    </r>
  </si>
  <si>
    <r>
      <t xml:space="preserve">$ Rural_percent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42.0, 42.3, 67.8, 68.4, 90.0, 51.4, 71.2, 33.7, 49.1, 85.7, 86.7, 100.0, 76.0, 100.0, 100.0, 47.2, 43…</t>
    </r>
  </si>
  <si>
    <r>
      <t xml:space="preserve">$ Total_Excess_Food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1122.35, 4282.87, 253.54, 38.24, 392.32, 33.14, 155.12, 1376.25, 395.10, 178.60, 683.76, 61.63, 257.4…</t>
    </r>
  </si>
  <si>
    <r>
      <t xml:space="preserve">$ n_restaurants         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54, 279, 25, 5, 31, 4, 11, 97, 31, 19, 42, 6, 19, 6, 6, 58, 63, 7, 2, 27, 4, 65, 33, 27, 49, 55, 23, …</t>
    </r>
  </si>
  <si>
    <r>
      <t xml:space="preserve">$ kcal_wasted_per_capita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53178.441, 50114.236, 28437.430, 4763.625, 18605.647, 8991.473, 23000.2</t>
    </r>
  </si>
  <si>
    <t>PCT_LACCESS_HHNV19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</si>
</sst>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i/>
      <sz val="7"/>
      <color rgb="FF949494"/>
      <name val="Lucida Console"/>
      <family val="3"/>
    </font>
    <font>
      <sz val="7"/>
      <color rgb="FFCC0000"/>
      <name val="Lucida Consol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/>
    <xf numFmtId="0" fontId="1" fillId="0" borderId="0" xfId="0" applyFont="1" applyFill="1" applyAlignment="1">
      <alignment vertical="center"/>
    </xf>
    <xf numFmtId="0" fontId="0" fillId="0" borderId="0" xfId="0" applyFill="1"/>
    <xf numFmtId="0" fontId="1" fillId="4" borderId="0" xfId="0" applyFont="1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240B-55F7-494A-A73A-32DD008FB724}">
  <dimension ref="A1:I22"/>
  <sheetViews>
    <sheetView tabSelected="1" workbookViewId="0">
      <selection activeCell="O26" sqref="O26"/>
    </sheetView>
  </sheetViews>
  <sheetFormatPr defaultRowHeight="14.5" x14ac:dyDescent="0.35"/>
  <cols>
    <col min="2" max="2" width="24.1796875" bestFit="1" customWidth="1"/>
  </cols>
  <sheetData>
    <row r="1" spans="1:9" x14ac:dyDescent="0.35">
      <c r="A1" t="s">
        <v>0</v>
      </c>
      <c r="B1" t="s">
        <v>3</v>
      </c>
      <c r="C1" t="s">
        <v>6</v>
      </c>
      <c r="D1" t="s">
        <v>7</v>
      </c>
      <c r="E1" t="s">
        <v>1</v>
      </c>
      <c r="F1" t="s">
        <v>2</v>
      </c>
    </row>
    <row r="2" spans="1:9" x14ac:dyDescent="0.35">
      <c r="A2" t="s">
        <v>8</v>
      </c>
      <c r="B2" t="s">
        <v>4</v>
      </c>
      <c r="C2" t="s">
        <v>5</v>
      </c>
      <c r="D2">
        <v>119</v>
      </c>
      <c r="E2">
        <v>6.19</v>
      </c>
      <c r="F2">
        <v>250</v>
      </c>
    </row>
    <row r="3" spans="1:9" x14ac:dyDescent="0.35">
      <c r="A3" t="s">
        <v>8</v>
      </c>
      <c r="B3" t="s">
        <v>9</v>
      </c>
      <c r="C3" t="s">
        <v>5</v>
      </c>
      <c r="D3">
        <v>140</v>
      </c>
      <c r="E3">
        <v>5</v>
      </c>
      <c r="F3">
        <v>410</v>
      </c>
    </row>
    <row r="4" spans="1:9" x14ac:dyDescent="0.35">
      <c r="A4" t="s">
        <v>8</v>
      </c>
      <c r="B4" t="s">
        <v>10</v>
      </c>
      <c r="C4" t="s">
        <v>5</v>
      </c>
      <c r="D4">
        <v>64</v>
      </c>
      <c r="E4">
        <v>4.3899999999999997</v>
      </c>
      <c r="F4">
        <v>180</v>
      </c>
    </row>
    <row r="5" spans="1:9" x14ac:dyDescent="0.35">
      <c r="A5" t="s">
        <v>8</v>
      </c>
      <c r="B5" t="s">
        <v>12</v>
      </c>
      <c r="C5" t="s">
        <v>11</v>
      </c>
      <c r="D5">
        <v>12</v>
      </c>
      <c r="E5">
        <v>2.19</v>
      </c>
      <c r="F5">
        <v>35</v>
      </c>
    </row>
    <row r="6" spans="1:9" x14ac:dyDescent="0.35">
      <c r="A6" t="s">
        <v>8</v>
      </c>
      <c r="B6" t="s">
        <v>13</v>
      </c>
      <c r="C6" t="s">
        <v>11</v>
      </c>
      <c r="D6">
        <v>12</v>
      </c>
      <c r="E6">
        <v>3.79</v>
      </c>
      <c r="F6">
        <v>110</v>
      </c>
    </row>
    <row r="7" spans="1:9" x14ac:dyDescent="0.35">
      <c r="A7" t="s">
        <v>8</v>
      </c>
      <c r="B7" t="s">
        <v>14</v>
      </c>
      <c r="C7" t="s">
        <v>11</v>
      </c>
      <c r="D7">
        <v>12</v>
      </c>
      <c r="E7">
        <v>3.89</v>
      </c>
      <c r="F7">
        <v>190</v>
      </c>
    </row>
    <row r="8" spans="1:9" x14ac:dyDescent="0.35">
      <c r="A8" t="s">
        <v>15</v>
      </c>
      <c r="B8" t="s">
        <v>25</v>
      </c>
      <c r="C8" t="s">
        <v>5</v>
      </c>
      <c r="D8">
        <v>251</v>
      </c>
      <c r="E8">
        <v>6.99</v>
      </c>
      <c r="F8">
        <v>500</v>
      </c>
    </row>
    <row r="9" spans="1:9" x14ac:dyDescent="0.35">
      <c r="A9" t="s">
        <v>15</v>
      </c>
      <c r="B9" t="s">
        <v>16</v>
      </c>
      <c r="C9" t="s">
        <v>5</v>
      </c>
      <c r="D9">
        <v>192</v>
      </c>
      <c r="E9">
        <v>7.29</v>
      </c>
      <c r="F9">
        <v>500</v>
      </c>
      <c r="I9" t="s">
        <v>18</v>
      </c>
    </row>
    <row r="10" spans="1:9" x14ac:dyDescent="0.35">
      <c r="A10" t="s">
        <v>15</v>
      </c>
      <c r="B10" t="s">
        <v>17</v>
      </c>
      <c r="C10" t="s">
        <v>5</v>
      </c>
      <c r="D10">
        <v>410</v>
      </c>
      <c r="E10">
        <v>10.24</v>
      </c>
      <c r="F10">
        <v>480</v>
      </c>
    </row>
    <row r="11" spans="1:9" x14ac:dyDescent="0.35">
      <c r="A11" t="s">
        <v>15</v>
      </c>
      <c r="B11" t="s">
        <v>19</v>
      </c>
      <c r="C11" t="s">
        <v>11</v>
      </c>
      <c r="D11">
        <v>12</v>
      </c>
      <c r="E11">
        <v>2.59</v>
      </c>
      <c r="F11">
        <v>170</v>
      </c>
    </row>
    <row r="12" spans="1:9" x14ac:dyDescent="0.35">
      <c r="A12" t="s">
        <v>15</v>
      </c>
      <c r="B12" t="s">
        <v>20</v>
      </c>
      <c r="C12" t="s">
        <v>11</v>
      </c>
      <c r="D12">
        <v>12</v>
      </c>
      <c r="E12">
        <v>2.1</v>
      </c>
      <c r="F12">
        <v>240</v>
      </c>
    </row>
    <row r="13" spans="1:9" x14ac:dyDescent="0.35">
      <c r="A13" t="s">
        <v>22</v>
      </c>
      <c r="B13" t="s">
        <v>21</v>
      </c>
      <c r="C13" t="s">
        <v>5</v>
      </c>
      <c r="D13">
        <v>183</v>
      </c>
      <c r="E13">
        <v>13.55</v>
      </c>
      <c r="F13">
        <v>940</v>
      </c>
    </row>
    <row r="14" spans="1:9" x14ac:dyDescent="0.35">
      <c r="A14" t="s">
        <v>22</v>
      </c>
      <c r="B14" t="s">
        <v>23</v>
      </c>
      <c r="C14" t="s">
        <v>5</v>
      </c>
      <c r="D14">
        <f>34+49+116</f>
        <v>199</v>
      </c>
      <c r="E14">
        <v>14.95</v>
      </c>
      <c r="F14">
        <v>980</v>
      </c>
    </row>
    <row r="15" spans="1:9" x14ac:dyDescent="0.35">
      <c r="A15" t="s">
        <v>22</v>
      </c>
      <c r="B15" t="s">
        <v>24</v>
      </c>
      <c r="C15" t="s">
        <v>5</v>
      </c>
      <c r="D15">
        <f>53+43+90</f>
        <v>186</v>
      </c>
      <c r="E15">
        <v>15.95</v>
      </c>
      <c r="F15">
        <v>1005</v>
      </c>
    </row>
    <row r="16" spans="1:9" x14ac:dyDescent="0.35">
      <c r="A16" t="s">
        <v>22</v>
      </c>
      <c r="B16" t="s">
        <v>26</v>
      </c>
      <c r="C16" t="s">
        <v>11</v>
      </c>
      <c r="D16">
        <v>12</v>
      </c>
      <c r="E16">
        <v>3.95</v>
      </c>
      <c r="F16">
        <v>150</v>
      </c>
    </row>
    <row r="17" spans="1:6" x14ac:dyDescent="0.35">
      <c r="A17" t="s">
        <v>22</v>
      </c>
      <c r="B17" t="s">
        <v>12</v>
      </c>
      <c r="C17" t="s">
        <v>11</v>
      </c>
      <c r="D17">
        <v>12</v>
      </c>
      <c r="E17">
        <v>3.95</v>
      </c>
      <c r="F17">
        <v>240</v>
      </c>
    </row>
    <row r="18" spans="1:6" x14ac:dyDescent="0.35">
      <c r="A18" t="s">
        <v>27</v>
      </c>
      <c r="B18" t="s">
        <v>28</v>
      </c>
      <c r="C18" t="s">
        <v>5</v>
      </c>
      <c r="D18">
        <f>11+34+6+6</f>
        <v>57</v>
      </c>
      <c r="E18">
        <v>4.1900000000000004</v>
      </c>
      <c r="F18">
        <v>240</v>
      </c>
    </row>
    <row r="19" spans="1:6" x14ac:dyDescent="0.35">
      <c r="A19" t="s">
        <v>27</v>
      </c>
      <c r="B19" t="s">
        <v>29</v>
      </c>
      <c r="C19" s="1" t="s">
        <v>5</v>
      </c>
      <c r="D19">
        <f>67+18+23</f>
        <v>108</v>
      </c>
      <c r="E19">
        <v>5.99</v>
      </c>
      <c r="F19">
        <v>520</v>
      </c>
    </row>
    <row r="20" spans="1:6" x14ac:dyDescent="0.35">
      <c r="A20" t="s">
        <v>27</v>
      </c>
      <c r="B20" t="s">
        <v>30</v>
      </c>
      <c r="C20" t="s">
        <v>5</v>
      </c>
      <c r="D20">
        <f>15+77+6</f>
        <v>98</v>
      </c>
      <c r="E20">
        <v>2.89</v>
      </c>
      <c r="F20">
        <v>460</v>
      </c>
    </row>
    <row r="21" spans="1:6" x14ac:dyDescent="0.35">
      <c r="A21" t="s">
        <v>27</v>
      </c>
      <c r="B21" t="s">
        <v>31</v>
      </c>
      <c r="C21" t="s">
        <v>11</v>
      </c>
      <c r="D21">
        <v>12</v>
      </c>
      <c r="E21">
        <v>3.39</v>
      </c>
      <c r="F21">
        <v>90</v>
      </c>
    </row>
    <row r="22" spans="1:6" x14ac:dyDescent="0.35">
      <c r="A22" t="s">
        <v>27</v>
      </c>
      <c r="B22" t="s">
        <v>32</v>
      </c>
      <c r="C22" t="s">
        <v>11</v>
      </c>
      <c r="D22">
        <v>12</v>
      </c>
      <c r="E22">
        <v>4.3899999999999997</v>
      </c>
      <c r="F22">
        <v>90</v>
      </c>
    </row>
  </sheetData>
  <autoFilter ref="A1:F11" xr:uid="{222A240B-55F7-494A-A73A-32DD008FB72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4530-13C7-430D-97DC-295F4D3356A7}">
  <dimension ref="A1:G37"/>
  <sheetViews>
    <sheetView workbookViewId="0">
      <selection activeCell="G37" sqref="G37"/>
    </sheetView>
  </sheetViews>
  <sheetFormatPr defaultRowHeight="14.5" x14ac:dyDescent="0.35"/>
  <cols>
    <col min="1" max="1" width="35.36328125" customWidth="1"/>
  </cols>
  <sheetData>
    <row r="1" spans="1:1" s="8" customFormat="1" x14ac:dyDescent="0.35">
      <c r="A1" s="7" t="s">
        <v>33</v>
      </c>
    </row>
    <row r="2" spans="1:1" s="8" customFormat="1" x14ac:dyDescent="0.35">
      <c r="A2" s="7" t="s">
        <v>34</v>
      </c>
    </row>
    <row r="3" spans="1:1" s="8" customFormat="1" x14ac:dyDescent="0.35">
      <c r="A3" s="7" t="s">
        <v>35</v>
      </c>
    </row>
    <row r="4" spans="1:1" s="8" customFormat="1" x14ac:dyDescent="0.35">
      <c r="A4" s="7" t="s">
        <v>36</v>
      </c>
    </row>
    <row r="5" spans="1:1" s="8" customFormat="1" x14ac:dyDescent="0.35">
      <c r="A5" s="7" t="s">
        <v>37</v>
      </c>
    </row>
    <row r="6" spans="1:1" s="8" customFormat="1" x14ac:dyDescent="0.35">
      <c r="A6" s="7" t="s">
        <v>38</v>
      </c>
    </row>
    <row r="7" spans="1:1" s="8" customFormat="1" x14ac:dyDescent="0.35">
      <c r="A7" s="7" t="s">
        <v>39</v>
      </c>
    </row>
    <row r="8" spans="1:1" s="8" customFormat="1" x14ac:dyDescent="0.35">
      <c r="A8" s="7" t="s">
        <v>40</v>
      </c>
    </row>
    <row r="9" spans="1:1" s="8" customFormat="1" x14ac:dyDescent="0.35">
      <c r="A9" s="7" t="s">
        <v>41</v>
      </c>
    </row>
    <row r="10" spans="1:1" s="6" customFormat="1" x14ac:dyDescent="0.35">
      <c r="A10" s="5" t="s">
        <v>42</v>
      </c>
    </row>
    <row r="11" spans="1:1" s="8" customFormat="1" x14ac:dyDescent="0.35">
      <c r="A11" s="7" t="s">
        <v>43</v>
      </c>
    </row>
    <row r="12" spans="1:1" s="8" customFormat="1" x14ac:dyDescent="0.35">
      <c r="A12" s="7" t="s">
        <v>44</v>
      </c>
    </row>
    <row r="13" spans="1:1" s="8" customFormat="1" x14ac:dyDescent="0.35">
      <c r="A13" s="7" t="s">
        <v>45</v>
      </c>
    </row>
    <row r="14" spans="1:1" s="8" customFormat="1" x14ac:dyDescent="0.35">
      <c r="A14" s="7" t="s">
        <v>46</v>
      </c>
    </row>
    <row r="15" spans="1:1" s="8" customFormat="1" x14ac:dyDescent="0.35">
      <c r="A15" s="7" t="s">
        <v>47</v>
      </c>
    </row>
    <row r="16" spans="1:1" s="8" customFormat="1" x14ac:dyDescent="0.35">
      <c r="A16" s="7" t="s">
        <v>48</v>
      </c>
    </row>
    <row r="17" spans="1:1" s="8" customFormat="1" x14ac:dyDescent="0.35">
      <c r="A17" s="7" t="s">
        <v>49</v>
      </c>
    </row>
    <row r="18" spans="1:1" s="8" customFormat="1" x14ac:dyDescent="0.35">
      <c r="A18" s="7" t="s">
        <v>50</v>
      </c>
    </row>
    <row r="19" spans="1:1" s="8" customFormat="1" x14ac:dyDescent="0.35">
      <c r="A19" s="7" t="s">
        <v>51</v>
      </c>
    </row>
    <row r="20" spans="1:1" s="8" customFormat="1" x14ac:dyDescent="0.35">
      <c r="A20" s="7" t="s">
        <v>52</v>
      </c>
    </row>
    <row r="21" spans="1:1" x14ac:dyDescent="0.35">
      <c r="A21" s="2" t="s">
        <v>53</v>
      </c>
    </row>
    <row r="22" spans="1:1" s="4" customFormat="1" x14ac:dyDescent="0.35">
      <c r="A22" s="3" t="s">
        <v>54</v>
      </c>
    </row>
    <row r="23" spans="1:1" s="4" customFormat="1" x14ac:dyDescent="0.35">
      <c r="A23" s="3" t="s">
        <v>55</v>
      </c>
    </row>
    <row r="24" spans="1:1" s="4" customFormat="1" x14ac:dyDescent="0.35">
      <c r="A24" s="3" t="s">
        <v>56</v>
      </c>
    </row>
    <row r="25" spans="1:1" s="4" customFormat="1" x14ac:dyDescent="0.35">
      <c r="A25" s="3" t="s">
        <v>57</v>
      </c>
    </row>
    <row r="26" spans="1:1" s="4" customFormat="1" x14ac:dyDescent="0.35">
      <c r="A26" s="3" t="s">
        <v>58</v>
      </c>
    </row>
    <row r="27" spans="1:1" s="4" customFormat="1" x14ac:dyDescent="0.35">
      <c r="A27" s="3" t="s">
        <v>59</v>
      </c>
    </row>
    <row r="28" spans="1:1" s="4" customFormat="1" x14ac:dyDescent="0.35">
      <c r="A28" s="3" t="s">
        <v>60</v>
      </c>
    </row>
    <row r="29" spans="1:1" s="4" customFormat="1" x14ac:dyDescent="0.35">
      <c r="A29" s="3" t="s">
        <v>61</v>
      </c>
    </row>
    <row r="30" spans="1:1" s="4" customFormat="1" x14ac:dyDescent="0.35">
      <c r="A30" s="3" t="s">
        <v>62</v>
      </c>
    </row>
    <row r="31" spans="1:1" s="4" customFormat="1" x14ac:dyDescent="0.35">
      <c r="A31" s="3" t="s">
        <v>63</v>
      </c>
    </row>
    <row r="32" spans="1:1" x14ac:dyDescent="0.35">
      <c r="A32" s="2" t="s">
        <v>64</v>
      </c>
    </row>
    <row r="33" spans="1:7" x14ac:dyDescent="0.35">
      <c r="A33" s="2" t="s">
        <v>65</v>
      </c>
    </row>
    <row r="37" spans="1:7" x14ac:dyDescent="0.35">
      <c r="G3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Gallardo</dc:creator>
  <cp:lastModifiedBy>Angel Gallardo</cp:lastModifiedBy>
  <dcterms:created xsi:type="dcterms:W3CDTF">2025-12-01T16:02:46Z</dcterms:created>
  <dcterms:modified xsi:type="dcterms:W3CDTF">2025-12-02T04:54:58Z</dcterms:modified>
</cp:coreProperties>
</file>